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o\Desktop\Poli Stuff\An3\Sem1\APD\Proiect MPI\Measurements\"/>
    </mc:Choice>
  </mc:AlternateContent>
  <xr:revisionPtr revIDLastSave="0" documentId="13_ncr:1_{E99460F0-6501-4F06-A5A3-9A078405FB26}" xr6:coauthVersionLast="47" xr6:coauthVersionMax="47" xr10:uidLastSave="{00000000-0000-0000-0000-000000000000}"/>
  <bookViews>
    <workbookView xWindow="-120" yWindow="-120" windowWidth="29040" windowHeight="15840" xr2:uid="{40C3F542-6004-4890-B87F-BE1A1329EA8E}"/>
  </bookViews>
  <sheets>
    <sheet name="Measure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9" i="1" l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J9" i="1"/>
  <c r="J19" i="1"/>
  <c r="J7" i="1"/>
  <c r="J8" i="1"/>
  <c r="J10" i="1"/>
  <c r="J11" i="1"/>
  <c r="J12" i="1"/>
  <c r="J13" i="1"/>
  <c r="J14" i="1"/>
  <c r="J15" i="1"/>
  <c r="J16" i="1"/>
  <c r="J17" i="1"/>
  <c r="J18" i="1"/>
  <c r="J6" i="1"/>
  <c r="J5" i="1"/>
</calcChain>
</file>

<file path=xl/sharedStrings.xml><?xml version="1.0" encoding="utf-8"?>
<sst xmlns="http://schemas.openxmlformats.org/spreadsheetml/2006/main" count="42" uniqueCount="13">
  <si>
    <t>Large.bmp</t>
  </si>
  <si>
    <t>XL.bmp</t>
  </si>
  <si>
    <t>XXL.bmp</t>
  </si>
  <si>
    <t>Serial</t>
  </si>
  <si>
    <t>Parallel SFT</t>
  </si>
  <si>
    <t>Parallel NO SFT</t>
  </si>
  <si>
    <t>Master/Worker</t>
  </si>
  <si>
    <t>Time</t>
  </si>
  <si>
    <t>Speedup</t>
  </si>
  <si>
    <t>Num. Processes</t>
  </si>
  <si>
    <t>Chunk Size</t>
  </si>
  <si>
    <t>Speedup vs Serial</t>
  </si>
  <si>
    <t>Speedup vs NO SFT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</si>
</sst>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2E1FF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E9B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FFF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8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FFF"/>
      <color rgb="FFFFCCFF"/>
      <color rgb="FFFFE9B3"/>
      <color rgb="FFFFFFCD"/>
      <color rgb="FFF2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F8C66-6399-4A17-9803-C0E865CC4D86}">
  <dimension ref="A1:AH40"/>
  <sheetViews>
    <sheetView tabSelected="1" workbookViewId="0">
      <selection activeCell="AC23" sqref="AC23"/>
    </sheetView>
  </sheetViews>
  <sheetFormatPr defaultRowHeight="15" x14ac:dyDescent="0.25"/>
  <cols>
    <col min="1" max="1" width="9.140625" style="1"/>
    <col min="2" max="2" width="15.42578125" style="1" bestFit="1" customWidth="1"/>
    <col min="3" max="4" width="6" style="1" bestFit="1" customWidth="1"/>
    <col min="5" max="5" width="9" style="1" bestFit="1" customWidth="1"/>
    <col min="6" max="6" width="6" style="1" bestFit="1" customWidth="1"/>
    <col min="7" max="7" width="9" style="1" bestFit="1" customWidth="1"/>
    <col min="8" max="8" width="6" style="1" bestFit="1" customWidth="1"/>
    <col min="9" max="9" width="16.42578125" style="1" bestFit="1" customWidth="1"/>
    <col min="10" max="10" width="17.85546875" style="1" bestFit="1" customWidth="1"/>
    <col min="11" max="11" width="10.42578125" style="1" bestFit="1" customWidth="1"/>
    <col min="12" max="12" width="15.42578125" style="1" bestFit="1" customWidth="1"/>
    <col min="13" max="13" width="7" style="1" bestFit="1" customWidth="1"/>
    <col min="14" max="14" width="6" style="1" bestFit="1" customWidth="1"/>
    <col min="15" max="15" width="9" style="1" bestFit="1" customWidth="1"/>
    <col min="16" max="16" width="6" style="1" bestFit="1" customWidth="1"/>
    <col min="17" max="17" width="9" style="1" bestFit="1" customWidth="1"/>
    <col min="18" max="18" width="6" style="1" bestFit="1" customWidth="1"/>
    <col min="19" max="19" width="16.42578125" style="1" bestFit="1" customWidth="1"/>
    <col min="20" max="20" width="17.85546875" style="1" bestFit="1" customWidth="1"/>
    <col min="21" max="21" width="10.42578125" style="1" bestFit="1" customWidth="1"/>
    <col min="22" max="22" width="15.42578125" style="1" bestFit="1" customWidth="1"/>
    <col min="23" max="23" width="7" style="1" bestFit="1" customWidth="1"/>
    <col min="24" max="24" width="6" style="1" bestFit="1" customWidth="1"/>
    <col min="25" max="25" width="9" style="1" bestFit="1" customWidth="1"/>
    <col min="26" max="26" width="6" style="1" bestFit="1" customWidth="1"/>
    <col min="27" max="27" width="9" bestFit="1" customWidth="1"/>
    <col min="28" max="28" width="6" bestFit="1" customWidth="1"/>
    <col min="29" max="29" width="16.42578125" bestFit="1" customWidth="1"/>
    <col min="30" max="30" width="17.85546875" bestFit="1" customWidth="1"/>
    <col min="31" max="31" width="10.42578125" bestFit="1" customWidth="1"/>
  </cols>
  <sheetData>
    <row r="1" spans="2:34" ht="15.75" thickBot="1" x14ac:dyDescent="0.3"/>
    <row r="2" spans="2:34" ht="15.75" thickBot="1" x14ac:dyDescent="0.3">
      <c r="B2" s="30" t="s">
        <v>9</v>
      </c>
      <c r="C2" s="33" t="s">
        <v>0</v>
      </c>
      <c r="D2" s="34"/>
      <c r="E2" s="34"/>
      <c r="F2" s="34"/>
      <c r="G2" s="34"/>
      <c r="H2" s="34"/>
      <c r="I2" s="34"/>
      <c r="J2" s="34"/>
      <c r="K2" s="35"/>
      <c r="L2" s="30" t="s">
        <v>9</v>
      </c>
      <c r="M2" s="33" t="s">
        <v>1</v>
      </c>
      <c r="N2" s="34"/>
      <c r="O2" s="34"/>
      <c r="P2" s="34"/>
      <c r="Q2" s="34"/>
      <c r="R2" s="34"/>
      <c r="S2" s="34"/>
      <c r="T2" s="34"/>
      <c r="U2" s="35"/>
      <c r="V2" s="30" t="s">
        <v>9</v>
      </c>
      <c r="W2" s="33" t="s">
        <v>2</v>
      </c>
      <c r="X2" s="34"/>
      <c r="Y2" s="34"/>
      <c r="Z2" s="34"/>
      <c r="AA2" s="34"/>
      <c r="AB2" s="34"/>
      <c r="AC2" s="34"/>
      <c r="AD2" s="34"/>
      <c r="AE2" s="35"/>
      <c r="AF2" s="1"/>
      <c r="AG2" s="1"/>
      <c r="AH2" s="1"/>
    </row>
    <row r="3" spans="2:34" ht="15.75" thickBot="1" x14ac:dyDescent="0.3">
      <c r="B3" s="31"/>
      <c r="C3" s="40" t="s">
        <v>3</v>
      </c>
      <c r="D3" s="37" t="s">
        <v>4</v>
      </c>
      <c r="E3" s="39"/>
      <c r="F3" s="37" t="s">
        <v>5</v>
      </c>
      <c r="G3" s="38"/>
      <c r="H3" s="41" t="s">
        <v>6</v>
      </c>
      <c r="I3" s="42"/>
      <c r="J3" s="42"/>
      <c r="K3" s="43"/>
      <c r="L3" s="31"/>
      <c r="M3" s="40" t="s">
        <v>3</v>
      </c>
      <c r="N3" s="37" t="s">
        <v>4</v>
      </c>
      <c r="O3" s="39"/>
      <c r="P3" s="37" t="s">
        <v>5</v>
      </c>
      <c r="Q3" s="38"/>
      <c r="R3" s="41" t="s">
        <v>6</v>
      </c>
      <c r="S3" s="42"/>
      <c r="T3" s="42"/>
      <c r="U3" s="43"/>
      <c r="V3" s="31"/>
      <c r="W3" s="40" t="s">
        <v>3</v>
      </c>
      <c r="X3" s="37" t="s">
        <v>4</v>
      </c>
      <c r="Y3" s="39"/>
      <c r="Z3" s="37" t="s">
        <v>5</v>
      </c>
      <c r="AA3" s="38"/>
      <c r="AB3" s="41" t="s">
        <v>6</v>
      </c>
      <c r="AC3" s="42"/>
      <c r="AD3" s="42"/>
      <c r="AE3" s="43"/>
      <c r="AF3" s="1"/>
      <c r="AG3" s="1"/>
      <c r="AH3" s="1"/>
    </row>
    <row r="4" spans="2:34" ht="15.75" thickBot="1" x14ac:dyDescent="0.3">
      <c r="B4" s="32"/>
      <c r="C4" s="36"/>
      <c r="D4" s="26" t="s">
        <v>7</v>
      </c>
      <c r="E4" s="27" t="s">
        <v>8</v>
      </c>
      <c r="F4" s="26" t="s">
        <v>7</v>
      </c>
      <c r="G4" s="27" t="s">
        <v>8</v>
      </c>
      <c r="H4" s="26" t="s">
        <v>7</v>
      </c>
      <c r="I4" s="28" t="s">
        <v>11</v>
      </c>
      <c r="J4" s="28" t="s">
        <v>12</v>
      </c>
      <c r="K4" s="27" t="s">
        <v>10</v>
      </c>
      <c r="L4" s="32"/>
      <c r="M4" s="36"/>
      <c r="N4" s="26" t="s">
        <v>7</v>
      </c>
      <c r="O4" s="27" t="s">
        <v>8</v>
      </c>
      <c r="P4" s="26" t="s">
        <v>7</v>
      </c>
      <c r="Q4" s="27" t="s">
        <v>8</v>
      </c>
      <c r="R4" s="26" t="s">
        <v>7</v>
      </c>
      <c r="S4" s="28" t="s">
        <v>11</v>
      </c>
      <c r="T4" s="28" t="s">
        <v>12</v>
      </c>
      <c r="U4" s="27" t="s">
        <v>10</v>
      </c>
      <c r="V4" s="32"/>
      <c r="W4" s="36"/>
      <c r="X4" s="26" t="s">
        <v>7</v>
      </c>
      <c r="Y4" s="27" t="s">
        <v>8</v>
      </c>
      <c r="Z4" s="26" t="s">
        <v>7</v>
      </c>
      <c r="AA4" s="29" t="s">
        <v>8</v>
      </c>
      <c r="AB4" s="26" t="s">
        <v>7</v>
      </c>
      <c r="AC4" s="28" t="s">
        <v>11</v>
      </c>
      <c r="AD4" s="28" t="s">
        <v>12</v>
      </c>
      <c r="AE4" s="27" t="s">
        <v>10</v>
      </c>
      <c r="AF4" s="1"/>
      <c r="AG4" s="1"/>
      <c r="AH4" s="1"/>
    </row>
    <row r="5" spans="2:34" x14ac:dyDescent="0.25">
      <c r="B5" s="25">
        <v>2</v>
      </c>
      <c r="C5" s="20">
        <v>4.3109999999999999</v>
      </c>
      <c r="D5" s="21">
        <v>0.66700000000000004</v>
      </c>
      <c r="E5" s="22">
        <v>6.4632680000000002</v>
      </c>
      <c r="F5" s="21">
        <v>0.65</v>
      </c>
      <c r="G5" s="23">
        <v>6.6323090000000002</v>
      </c>
      <c r="H5" s="47">
        <v>0.90600000000000003</v>
      </c>
      <c r="I5" s="48">
        <v>4.7582769999999996</v>
      </c>
      <c r="J5" s="48">
        <f xml:space="preserve"> F5 / H5</f>
        <v>0.717439293598234</v>
      </c>
      <c r="K5" s="49">
        <v>925</v>
      </c>
      <c r="L5" s="25">
        <v>2</v>
      </c>
      <c r="M5" s="20">
        <v>10.749000000000001</v>
      </c>
      <c r="N5" s="21">
        <v>1.3280000000000001</v>
      </c>
      <c r="O5" s="22">
        <v>8.0941259999999993</v>
      </c>
      <c r="P5" s="21">
        <v>1.6539999999999999</v>
      </c>
      <c r="Q5" s="23">
        <v>6.4987909999999998</v>
      </c>
      <c r="R5" s="21">
        <v>2.3660000000000001</v>
      </c>
      <c r="S5" s="24">
        <v>4.5431109999999997</v>
      </c>
      <c r="T5" s="48">
        <f xml:space="preserve"> P5 / R5</f>
        <v>0.69907016060862204</v>
      </c>
      <c r="U5" s="44">
        <v>150</v>
      </c>
      <c r="V5" s="25">
        <v>2</v>
      </c>
      <c r="W5" s="20">
        <v>35.465000000000003</v>
      </c>
      <c r="X5" s="21">
        <v>4.4859999999999998</v>
      </c>
      <c r="Y5" s="22">
        <v>7.9057069999999996</v>
      </c>
      <c r="Z5" s="21">
        <v>5.1040000000000001</v>
      </c>
      <c r="AA5" s="23">
        <v>6.9484719999999998</v>
      </c>
      <c r="AB5" s="21">
        <v>7.77</v>
      </c>
      <c r="AC5" s="24">
        <v>4.5643500000000001</v>
      </c>
      <c r="AD5" s="48">
        <f xml:space="preserve"> Z5 / AB5</f>
        <v>0.65688545688545696</v>
      </c>
      <c r="AE5" s="44">
        <v>955</v>
      </c>
      <c r="AF5" s="1"/>
      <c r="AG5" s="1"/>
      <c r="AH5" s="1"/>
    </row>
    <row r="6" spans="2:34" x14ac:dyDescent="0.25">
      <c r="B6" s="18">
        <v>3</v>
      </c>
      <c r="C6" s="16">
        <v>4.3769999999999998</v>
      </c>
      <c r="D6" s="9">
        <v>0.56399999999999995</v>
      </c>
      <c r="E6" s="10">
        <v>7.7606400000000004</v>
      </c>
      <c r="F6" s="9">
        <v>0.72199999999999998</v>
      </c>
      <c r="G6" s="13">
        <v>6.0623259999999997</v>
      </c>
      <c r="H6" s="9">
        <v>0.66100000000000003</v>
      </c>
      <c r="I6" s="15">
        <v>6.6217879999999996</v>
      </c>
      <c r="J6" s="24">
        <f xml:space="preserve"> F6 / H6</f>
        <v>1.0922844175491679</v>
      </c>
      <c r="K6" s="45">
        <v>715</v>
      </c>
      <c r="L6" s="18">
        <v>3</v>
      </c>
      <c r="M6" s="16">
        <v>10.92</v>
      </c>
      <c r="N6" s="9">
        <v>1.37</v>
      </c>
      <c r="O6" s="10">
        <v>7.9708019999999999</v>
      </c>
      <c r="P6" s="9">
        <v>1.647</v>
      </c>
      <c r="Q6" s="13">
        <v>6.6302380000000003</v>
      </c>
      <c r="R6" s="9">
        <v>1.64</v>
      </c>
      <c r="S6" s="15">
        <v>6.6585359999999998</v>
      </c>
      <c r="T6" s="15">
        <f xml:space="preserve"> P6 / R6</f>
        <v>1.0042682926829269</v>
      </c>
      <c r="U6" s="45">
        <v>450</v>
      </c>
      <c r="V6" s="18">
        <v>3</v>
      </c>
      <c r="W6" s="16">
        <v>35.912999999999997</v>
      </c>
      <c r="X6" s="9">
        <v>4.3860000000000001</v>
      </c>
      <c r="Y6" s="10">
        <v>8.1880980000000001</v>
      </c>
      <c r="Z6" s="9">
        <v>5.18</v>
      </c>
      <c r="AA6" s="13">
        <v>6.9330109999999996</v>
      </c>
      <c r="AB6" s="9">
        <v>5.4359999999999999</v>
      </c>
      <c r="AC6" s="15">
        <v>6.6065120000000004</v>
      </c>
      <c r="AD6" s="15">
        <f xml:space="preserve"> Z6 / AB6</f>
        <v>0.95290654893303894</v>
      </c>
      <c r="AE6" s="45">
        <v>915</v>
      </c>
      <c r="AF6" s="1"/>
      <c r="AG6" s="1"/>
      <c r="AH6" s="1"/>
    </row>
    <row r="7" spans="2:34" x14ac:dyDescent="0.25">
      <c r="B7" s="18">
        <v>4</v>
      </c>
      <c r="C7" s="16">
        <v>4.3520000000000003</v>
      </c>
      <c r="D7" s="9">
        <v>0.51</v>
      </c>
      <c r="E7" s="10">
        <v>8.5333330000000007</v>
      </c>
      <c r="F7" s="9">
        <v>0.70699999999999996</v>
      </c>
      <c r="G7" s="13">
        <v>6.1555869999999997</v>
      </c>
      <c r="H7" s="9">
        <v>0.55600000000000005</v>
      </c>
      <c r="I7" s="15">
        <v>7.8273380000000001</v>
      </c>
      <c r="J7" s="24">
        <f t="shared" ref="J7:J18" si="0" xml:space="preserve"> F7 / H7</f>
        <v>1.2715827338129495</v>
      </c>
      <c r="K7" s="45">
        <v>140</v>
      </c>
      <c r="L7" s="18">
        <v>4</v>
      </c>
      <c r="M7" s="16">
        <v>10.824999999999999</v>
      </c>
      <c r="N7" s="9">
        <v>1.3660000000000001</v>
      </c>
      <c r="O7" s="10">
        <v>7.9245979999999996</v>
      </c>
      <c r="P7" s="9">
        <v>1.6419999999999999</v>
      </c>
      <c r="Q7" s="13">
        <v>6.5925700000000003</v>
      </c>
      <c r="R7" s="9">
        <v>1.365</v>
      </c>
      <c r="S7" s="15">
        <v>7.9304030000000001</v>
      </c>
      <c r="T7" s="15">
        <f t="shared" ref="T7:T18" si="1" xml:space="preserve"> P7 / R7</f>
        <v>1.2029304029304029</v>
      </c>
      <c r="U7" s="45">
        <v>545</v>
      </c>
      <c r="V7" s="18">
        <v>4</v>
      </c>
      <c r="W7" s="16">
        <v>35.493000000000002</v>
      </c>
      <c r="X7" s="9">
        <v>4.0190000000000001</v>
      </c>
      <c r="Y7" s="10">
        <v>8.8313020000000009</v>
      </c>
      <c r="Z7" s="9">
        <v>5.23</v>
      </c>
      <c r="AA7" s="13">
        <v>6.7864240000000002</v>
      </c>
      <c r="AB7" s="9">
        <v>4.4630000000000001</v>
      </c>
      <c r="AC7" s="15">
        <v>7.9527219999999996</v>
      </c>
      <c r="AD7" s="15">
        <f t="shared" ref="AD7:AD18" si="2" xml:space="preserve"> Z7 / AB7</f>
        <v>1.1718574949585481</v>
      </c>
      <c r="AE7" s="45">
        <v>325</v>
      </c>
      <c r="AF7" s="1"/>
      <c r="AG7" s="1"/>
      <c r="AH7" s="1"/>
    </row>
    <row r="8" spans="2:34" x14ac:dyDescent="0.25">
      <c r="B8" s="18">
        <v>5</v>
      </c>
      <c r="C8" s="16">
        <v>4.3949999999999996</v>
      </c>
      <c r="D8" s="9">
        <v>0.51500000000000001</v>
      </c>
      <c r="E8" s="10">
        <v>8.5339829999999992</v>
      </c>
      <c r="F8" s="9">
        <v>0.64200000000000002</v>
      </c>
      <c r="G8" s="13">
        <v>6.8457949999999999</v>
      </c>
      <c r="H8" s="9">
        <v>0.52700000000000002</v>
      </c>
      <c r="I8" s="15">
        <v>8.3396589999999993</v>
      </c>
      <c r="J8" s="24">
        <f t="shared" si="0"/>
        <v>1.2182163187855788</v>
      </c>
      <c r="K8" s="45">
        <v>45</v>
      </c>
      <c r="L8" s="18">
        <v>5</v>
      </c>
      <c r="M8" s="16">
        <v>10.87</v>
      </c>
      <c r="N8" s="9">
        <v>1.3109999999999999</v>
      </c>
      <c r="O8" s="10">
        <v>8.2913800000000002</v>
      </c>
      <c r="P8" s="9">
        <v>1.54</v>
      </c>
      <c r="Q8" s="13">
        <v>7.0584410000000002</v>
      </c>
      <c r="R8" s="9">
        <v>1.333</v>
      </c>
      <c r="S8" s="15">
        <v>8.1545389999999998</v>
      </c>
      <c r="T8" s="15">
        <f t="shared" si="1"/>
        <v>1.1552888222055515</v>
      </c>
      <c r="U8" s="45">
        <v>335</v>
      </c>
      <c r="V8" s="18">
        <v>5</v>
      </c>
      <c r="W8" s="16">
        <v>36.036999999999999</v>
      </c>
      <c r="X8" s="9">
        <v>4.09</v>
      </c>
      <c r="Y8" s="10">
        <v>8.8110029999999995</v>
      </c>
      <c r="Z8" s="9">
        <v>5.2919999999999998</v>
      </c>
      <c r="AA8" s="13">
        <v>6.8097130000000003</v>
      </c>
      <c r="AB8" s="9">
        <v>4.3609999999999998</v>
      </c>
      <c r="AC8" s="15">
        <v>8.2634720000000002</v>
      </c>
      <c r="AD8" s="15">
        <f t="shared" si="2"/>
        <v>1.2134831460674158</v>
      </c>
      <c r="AE8" s="45">
        <v>290</v>
      </c>
      <c r="AF8" s="1"/>
      <c r="AG8" s="1"/>
      <c r="AH8" s="1"/>
    </row>
    <row r="9" spans="2:34" x14ac:dyDescent="0.25">
      <c r="B9" s="18">
        <v>6</v>
      </c>
      <c r="C9" s="16">
        <v>4.4029999999999996</v>
      </c>
      <c r="D9" s="9">
        <v>0.51100000000000001</v>
      </c>
      <c r="E9" s="10">
        <v>8.6164400000000008</v>
      </c>
      <c r="F9" s="9">
        <v>0.69299999999999995</v>
      </c>
      <c r="G9" s="13">
        <v>6.3535349999999999</v>
      </c>
      <c r="H9" s="9">
        <v>0.60199999999999998</v>
      </c>
      <c r="I9" s="15">
        <v>7.3139539999999998</v>
      </c>
      <c r="J9" s="24">
        <f xml:space="preserve"> F9 / H9</f>
        <v>1.1511627906976745</v>
      </c>
      <c r="K9" s="45">
        <v>85</v>
      </c>
      <c r="L9" s="18">
        <v>6</v>
      </c>
      <c r="M9" s="16">
        <v>10.896000000000001</v>
      </c>
      <c r="N9" s="9">
        <v>1.331</v>
      </c>
      <c r="O9" s="10">
        <v>8.1863250000000001</v>
      </c>
      <c r="P9" s="9">
        <v>1.653</v>
      </c>
      <c r="Q9" s="13">
        <v>6.5916519999999998</v>
      </c>
      <c r="R9" s="9">
        <v>1.492</v>
      </c>
      <c r="S9" s="15">
        <v>7.3029479999999998</v>
      </c>
      <c r="T9" s="15">
        <f t="shared" si="1"/>
        <v>1.1079088471849867</v>
      </c>
      <c r="U9" s="45">
        <v>20</v>
      </c>
      <c r="V9" s="18">
        <v>6</v>
      </c>
      <c r="W9" s="16">
        <v>35.826000000000001</v>
      </c>
      <c r="X9" s="9">
        <v>4.4530000000000003</v>
      </c>
      <c r="Y9" s="10">
        <v>8.045363</v>
      </c>
      <c r="Z9" s="9">
        <v>5.6479999999999997</v>
      </c>
      <c r="AA9" s="13">
        <v>6.3431300000000004</v>
      </c>
      <c r="AB9" s="9">
        <v>4.944</v>
      </c>
      <c r="AC9" s="15">
        <v>7.246359</v>
      </c>
      <c r="AD9" s="15">
        <f t="shared" si="2"/>
        <v>1.1423948220064724</v>
      </c>
      <c r="AE9" s="45">
        <v>250</v>
      </c>
      <c r="AF9" s="1"/>
      <c r="AG9" s="1"/>
      <c r="AH9" s="1"/>
    </row>
    <row r="10" spans="2:34" x14ac:dyDescent="0.25">
      <c r="B10" s="18">
        <v>7</v>
      </c>
      <c r="C10" s="16">
        <v>4.367</v>
      </c>
      <c r="D10" s="9">
        <v>0.47299999999999998</v>
      </c>
      <c r="E10" s="10">
        <v>9.2325569999999999</v>
      </c>
      <c r="F10" s="2">
        <v>0.63400000000000001</v>
      </c>
      <c r="G10" s="4">
        <v>6.8880119999999998</v>
      </c>
      <c r="H10" s="9">
        <v>0.52400000000000002</v>
      </c>
      <c r="I10" s="15">
        <v>8.3339669999999995</v>
      </c>
      <c r="J10" s="24">
        <f t="shared" si="0"/>
        <v>1.2099236641221374</v>
      </c>
      <c r="K10" s="45">
        <v>25</v>
      </c>
      <c r="L10" s="18">
        <v>7</v>
      </c>
      <c r="M10" s="16">
        <v>10.766</v>
      </c>
      <c r="N10" s="9">
        <v>1.294</v>
      </c>
      <c r="O10" s="10">
        <v>8.3199389999999998</v>
      </c>
      <c r="P10" s="9">
        <v>1.6060000000000001</v>
      </c>
      <c r="Q10" s="13">
        <v>6.7036110000000004</v>
      </c>
      <c r="R10" s="9">
        <v>1.2769999999999999</v>
      </c>
      <c r="S10" s="15">
        <v>8.4306970000000003</v>
      </c>
      <c r="T10" s="15">
        <f t="shared" si="1"/>
        <v>1.2576350822239626</v>
      </c>
      <c r="U10" s="45">
        <v>30</v>
      </c>
      <c r="V10" s="18">
        <v>7</v>
      </c>
      <c r="W10" s="16">
        <v>35.491</v>
      </c>
      <c r="X10" s="9">
        <v>4.1120000000000001</v>
      </c>
      <c r="Y10" s="10">
        <v>8.6310800000000008</v>
      </c>
      <c r="Z10" s="9">
        <v>5.2569999999999997</v>
      </c>
      <c r="AA10" s="13">
        <v>6.7511890000000001</v>
      </c>
      <c r="AB10" s="9">
        <v>4.1740000000000004</v>
      </c>
      <c r="AC10" s="15">
        <v>8.5028749999999995</v>
      </c>
      <c r="AD10" s="15">
        <f t="shared" si="2"/>
        <v>1.2594633445136558</v>
      </c>
      <c r="AE10" s="45">
        <v>150</v>
      </c>
      <c r="AF10" s="1"/>
      <c r="AG10" s="1"/>
      <c r="AH10" s="1"/>
    </row>
    <row r="11" spans="2:34" x14ac:dyDescent="0.25">
      <c r="B11" s="18">
        <v>8</v>
      </c>
      <c r="C11" s="16">
        <v>4.3559999999999999</v>
      </c>
      <c r="D11" s="9">
        <v>0.46700000000000003</v>
      </c>
      <c r="E11" s="10">
        <v>9.3276230000000009</v>
      </c>
      <c r="F11" s="2">
        <v>0.63400000000000001</v>
      </c>
      <c r="G11" s="4">
        <v>6.8706620000000003</v>
      </c>
      <c r="H11" s="9">
        <v>0.46500000000000002</v>
      </c>
      <c r="I11" s="15">
        <v>9.3677440000000001</v>
      </c>
      <c r="J11" s="24">
        <f t="shared" si="0"/>
        <v>1.3634408602150536</v>
      </c>
      <c r="K11" s="45">
        <v>50</v>
      </c>
      <c r="L11" s="18">
        <v>8</v>
      </c>
      <c r="M11" s="16">
        <v>10.813000000000001</v>
      </c>
      <c r="N11" s="2">
        <v>1.246</v>
      </c>
      <c r="O11" s="3">
        <v>8.6781710000000007</v>
      </c>
      <c r="P11" s="2">
        <v>1.5349999999999999</v>
      </c>
      <c r="Q11" s="4">
        <v>7.0442989999999996</v>
      </c>
      <c r="R11" s="9">
        <v>1.1519999999999999</v>
      </c>
      <c r="S11" s="15">
        <v>9.3862850000000009</v>
      </c>
      <c r="T11" s="15">
        <f t="shared" si="1"/>
        <v>1.3324652777777779</v>
      </c>
      <c r="U11" s="45">
        <v>75</v>
      </c>
      <c r="V11" s="18">
        <v>8</v>
      </c>
      <c r="W11" s="16">
        <v>35.561</v>
      </c>
      <c r="X11" s="9">
        <v>3.843</v>
      </c>
      <c r="Y11" s="10">
        <v>9.2534469999999995</v>
      </c>
      <c r="Z11" s="9">
        <v>5.0190000000000001</v>
      </c>
      <c r="AA11" s="13">
        <v>7.0852760000000004</v>
      </c>
      <c r="AB11" s="9">
        <v>3.8130000000000002</v>
      </c>
      <c r="AC11" s="15">
        <v>9.3262520000000002</v>
      </c>
      <c r="AD11" s="15">
        <f t="shared" si="2"/>
        <v>1.3162863886703382</v>
      </c>
      <c r="AE11" s="45">
        <v>100</v>
      </c>
      <c r="AF11" s="1"/>
      <c r="AG11" s="1"/>
      <c r="AH11" s="1"/>
    </row>
    <row r="12" spans="2:34" x14ac:dyDescent="0.25">
      <c r="B12" s="18">
        <v>9</v>
      </c>
      <c r="C12" s="16">
        <v>4.4260000000000002</v>
      </c>
      <c r="D12" s="9">
        <v>0.61699999999999999</v>
      </c>
      <c r="E12" s="10">
        <v>7.1734220000000004</v>
      </c>
      <c r="F12" s="9">
        <v>0.80100000000000005</v>
      </c>
      <c r="G12" s="13">
        <v>5.5255939999999999</v>
      </c>
      <c r="H12" s="9">
        <v>0.68700000000000006</v>
      </c>
      <c r="I12" s="15">
        <v>6.4425059999999998</v>
      </c>
      <c r="J12" s="24">
        <f t="shared" si="0"/>
        <v>1.1659388646288209</v>
      </c>
      <c r="K12" s="45">
        <v>20</v>
      </c>
      <c r="L12" s="18">
        <v>9</v>
      </c>
      <c r="M12" s="16">
        <v>10.911</v>
      </c>
      <c r="N12" s="9">
        <v>1.536</v>
      </c>
      <c r="O12" s="10">
        <v>7.1035149999999998</v>
      </c>
      <c r="P12" s="9">
        <v>1.9790000000000001</v>
      </c>
      <c r="Q12" s="13">
        <v>5.5133900000000002</v>
      </c>
      <c r="R12" s="9">
        <v>1.69</v>
      </c>
      <c r="S12" s="15">
        <v>6.4562140000000001</v>
      </c>
      <c r="T12" s="15">
        <f t="shared" si="1"/>
        <v>1.1710059171597633</v>
      </c>
      <c r="U12" s="45">
        <v>20</v>
      </c>
      <c r="V12" s="18">
        <v>9</v>
      </c>
      <c r="W12" s="16">
        <v>36.143999999999998</v>
      </c>
      <c r="X12" s="9">
        <v>5.1029999999999998</v>
      </c>
      <c r="Y12" s="10">
        <v>7.0828930000000003</v>
      </c>
      <c r="Z12" s="9">
        <v>6.5250000000000004</v>
      </c>
      <c r="AA12" s="13">
        <v>5.5393100000000004</v>
      </c>
      <c r="AB12" s="9">
        <v>5.6379999999999999</v>
      </c>
      <c r="AC12" s="15">
        <v>6.4107839999999996</v>
      </c>
      <c r="AD12" s="15">
        <f t="shared" si="2"/>
        <v>1.1573252926569706</v>
      </c>
      <c r="AE12" s="45">
        <v>10</v>
      </c>
      <c r="AF12" s="1"/>
      <c r="AG12" s="1"/>
      <c r="AH12" s="1"/>
    </row>
    <row r="13" spans="2:34" x14ac:dyDescent="0.25">
      <c r="B13" s="18">
        <v>10</v>
      </c>
      <c r="C13" s="16">
        <v>4.3789999999999996</v>
      </c>
      <c r="D13" s="9">
        <v>0.56799999999999995</v>
      </c>
      <c r="E13" s="10">
        <v>7.7095060000000002</v>
      </c>
      <c r="F13" s="9">
        <v>0.73899999999999999</v>
      </c>
      <c r="G13" s="13">
        <v>5.9255740000000001</v>
      </c>
      <c r="H13" s="9">
        <v>0.61399999999999999</v>
      </c>
      <c r="I13" s="15">
        <v>7.1319210000000002</v>
      </c>
      <c r="J13" s="24">
        <f t="shared" si="0"/>
        <v>1.2035830618892509</v>
      </c>
      <c r="K13" s="45">
        <v>20</v>
      </c>
      <c r="L13" s="18">
        <v>10</v>
      </c>
      <c r="M13" s="16">
        <v>10.835000000000001</v>
      </c>
      <c r="N13" s="9">
        <v>1.407</v>
      </c>
      <c r="O13" s="10">
        <v>7.7007830000000004</v>
      </c>
      <c r="P13" s="9">
        <v>1.8360000000000001</v>
      </c>
      <c r="Q13" s="13">
        <v>5.9014160000000002</v>
      </c>
      <c r="R13" s="9">
        <v>1.5189999999999999</v>
      </c>
      <c r="S13" s="15">
        <v>7.1329820000000002</v>
      </c>
      <c r="T13" s="15">
        <f t="shared" si="1"/>
        <v>1.2086899275839369</v>
      </c>
      <c r="U13" s="45">
        <v>25</v>
      </c>
      <c r="V13" s="18">
        <v>10</v>
      </c>
      <c r="W13" s="16">
        <v>36.360999999999997</v>
      </c>
      <c r="X13" s="9">
        <v>5.0730000000000004</v>
      </c>
      <c r="Y13" s="10">
        <v>7.1675529999999998</v>
      </c>
      <c r="Z13" s="9">
        <v>6.3090000000000002</v>
      </c>
      <c r="AA13" s="13">
        <v>5.7633539999999996</v>
      </c>
      <c r="AB13" s="9">
        <v>5.0629999999999997</v>
      </c>
      <c r="AC13" s="15">
        <v>7.1817099999999998</v>
      </c>
      <c r="AD13" s="15">
        <f t="shared" si="2"/>
        <v>1.2460991507011654</v>
      </c>
      <c r="AE13" s="45">
        <v>10</v>
      </c>
      <c r="AF13" s="1"/>
      <c r="AG13" s="1"/>
      <c r="AH13" s="1"/>
    </row>
    <row r="14" spans="2:34" x14ac:dyDescent="0.25">
      <c r="B14" s="18">
        <v>11</v>
      </c>
      <c r="C14" s="16">
        <v>4.4020000000000001</v>
      </c>
      <c r="D14" s="9">
        <v>0.52</v>
      </c>
      <c r="E14" s="10">
        <v>8.4653849999999995</v>
      </c>
      <c r="F14" s="9">
        <v>0.70399999999999996</v>
      </c>
      <c r="G14" s="13">
        <v>6.2528410000000001</v>
      </c>
      <c r="H14" s="9">
        <v>0.56100000000000005</v>
      </c>
      <c r="I14" s="15">
        <v>7.8467010000000004</v>
      </c>
      <c r="J14" s="24">
        <f t="shared" si="0"/>
        <v>1.2549019607843135</v>
      </c>
      <c r="K14" s="45">
        <v>10</v>
      </c>
      <c r="L14" s="18">
        <v>11</v>
      </c>
      <c r="M14" s="16">
        <v>10.84</v>
      </c>
      <c r="N14" s="9">
        <v>1.38</v>
      </c>
      <c r="O14" s="10">
        <v>7.855073</v>
      </c>
      <c r="P14" s="9">
        <v>1.7569999999999999</v>
      </c>
      <c r="Q14" s="13">
        <v>6.1696070000000001</v>
      </c>
      <c r="R14" s="9">
        <v>1.387</v>
      </c>
      <c r="S14" s="15">
        <v>7.815429</v>
      </c>
      <c r="T14" s="15">
        <f t="shared" si="1"/>
        <v>1.26676279740447</v>
      </c>
      <c r="U14" s="45">
        <v>25</v>
      </c>
      <c r="V14" s="18">
        <v>11</v>
      </c>
      <c r="W14" s="16">
        <v>36.155999999999999</v>
      </c>
      <c r="X14" s="9">
        <v>4.3019999999999996</v>
      </c>
      <c r="Y14" s="10">
        <v>8.4044629999999998</v>
      </c>
      <c r="Z14" s="9">
        <v>5.7220000000000004</v>
      </c>
      <c r="AA14" s="13">
        <v>6.3187699999999998</v>
      </c>
      <c r="AB14" s="9">
        <v>4.6040000000000001</v>
      </c>
      <c r="AC14" s="15">
        <v>7.8531709999999997</v>
      </c>
      <c r="AD14" s="15">
        <f t="shared" si="2"/>
        <v>1.242832319721981</v>
      </c>
      <c r="AE14" s="45">
        <v>15</v>
      </c>
      <c r="AF14" s="1"/>
      <c r="AG14" s="1"/>
      <c r="AH14" s="1"/>
    </row>
    <row r="15" spans="2:34" x14ac:dyDescent="0.25">
      <c r="B15" s="18">
        <v>12</v>
      </c>
      <c r="C15" s="16">
        <v>4.3540000000000001</v>
      </c>
      <c r="D15" s="9">
        <v>0.504</v>
      </c>
      <c r="E15" s="10">
        <v>8.63889</v>
      </c>
      <c r="F15" s="9">
        <v>0.67300000000000004</v>
      </c>
      <c r="G15" s="13">
        <v>6.4695390000000002</v>
      </c>
      <c r="H15" s="9">
        <v>0.52100000000000002</v>
      </c>
      <c r="I15" s="15">
        <v>8.3570039999999999</v>
      </c>
      <c r="J15" s="24">
        <f t="shared" si="0"/>
        <v>1.2917466410748562</v>
      </c>
      <c r="K15" s="45">
        <v>10</v>
      </c>
      <c r="L15" s="18">
        <v>12</v>
      </c>
      <c r="M15" s="16">
        <v>10.788</v>
      </c>
      <c r="N15" s="9">
        <v>1.2729999999999999</v>
      </c>
      <c r="O15" s="10">
        <v>8.4744700000000002</v>
      </c>
      <c r="P15" s="9">
        <v>1.659</v>
      </c>
      <c r="Q15" s="13">
        <v>6.502713</v>
      </c>
      <c r="R15" s="9">
        <v>1.2789999999999999</v>
      </c>
      <c r="S15" s="15">
        <v>8.4347139999999996</v>
      </c>
      <c r="T15" s="15">
        <f t="shared" si="1"/>
        <v>1.297107114933542</v>
      </c>
      <c r="U15" s="45">
        <v>20</v>
      </c>
      <c r="V15" s="18">
        <v>12</v>
      </c>
      <c r="W15" s="16">
        <v>35.616999999999997</v>
      </c>
      <c r="X15" s="9">
        <v>4.157</v>
      </c>
      <c r="Y15" s="10">
        <v>8.5679569999999998</v>
      </c>
      <c r="Z15" s="9">
        <v>5.4039999999999999</v>
      </c>
      <c r="AA15" s="13">
        <v>6.590859</v>
      </c>
      <c r="AB15" s="9">
        <v>4.2720000000000002</v>
      </c>
      <c r="AC15" s="15">
        <v>8.337313</v>
      </c>
      <c r="AD15" s="15">
        <f t="shared" si="2"/>
        <v>1.2649812734082395</v>
      </c>
      <c r="AE15" s="45">
        <v>15</v>
      </c>
      <c r="AF15" s="1"/>
      <c r="AG15" s="1"/>
      <c r="AH15" s="1"/>
    </row>
    <row r="16" spans="2:34" x14ac:dyDescent="0.25">
      <c r="B16" s="18">
        <v>13</v>
      </c>
      <c r="C16" s="16">
        <v>4.3529999999999998</v>
      </c>
      <c r="D16" s="2">
        <v>0.45900000000000002</v>
      </c>
      <c r="E16" s="3">
        <v>9.4836580000000001</v>
      </c>
      <c r="F16" s="9">
        <v>0.69</v>
      </c>
      <c r="G16" s="13">
        <v>6.3086950000000002</v>
      </c>
      <c r="H16" s="9">
        <v>0.48599999999999999</v>
      </c>
      <c r="I16" s="15">
        <v>8.9567890000000006</v>
      </c>
      <c r="J16" s="24">
        <f t="shared" si="0"/>
        <v>1.419753086419753</v>
      </c>
      <c r="K16" s="45">
        <v>20</v>
      </c>
      <c r="L16" s="18">
        <v>13</v>
      </c>
      <c r="M16" s="16">
        <v>10.734</v>
      </c>
      <c r="N16" s="9">
        <v>1.2929999999999999</v>
      </c>
      <c r="O16" s="10">
        <v>8.3016240000000003</v>
      </c>
      <c r="P16" s="9">
        <v>1.61</v>
      </c>
      <c r="Q16" s="13">
        <v>6.6670809999999996</v>
      </c>
      <c r="R16" s="9">
        <v>1.1919999999999999</v>
      </c>
      <c r="S16" s="15">
        <v>9.0050340000000002</v>
      </c>
      <c r="T16" s="15">
        <f t="shared" si="1"/>
        <v>1.3506711409395975</v>
      </c>
      <c r="U16" s="45">
        <v>20</v>
      </c>
      <c r="V16" s="18">
        <v>13</v>
      </c>
      <c r="W16" s="16">
        <v>35.707000000000001</v>
      </c>
      <c r="X16" s="9">
        <v>4.0650000000000004</v>
      </c>
      <c r="Y16" s="10">
        <v>8.7840100000000003</v>
      </c>
      <c r="Z16" s="9">
        <v>5.2640000000000002</v>
      </c>
      <c r="AA16" s="13">
        <v>6.7832439999999998</v>
      </c>
      <c r="AB16" s="9">
        <v>4.0389999999999997</v>
      </c>
      <c r="AC16" s="15">
        <v>8.8405550000000002</v>
      </c>
      <c r="AD16" s="15">
        <f t="shared" si="2"/>
        <v>1.3032928942807627</v>
      </c>
      <c r="AE16" s="45">
        <v>10</v>
      </c>
      <c r="AF16" s="1"/>
      <c r="AG16" s="1"/>
      <c r="AH16" s="1"/>
    </row>
    <row r="17" spans="2:34" x14ac:dyDescent="0.25">
      <c r="B17" s="18">
        <v>14</v>
      </c>
      <c r="C17" s="16">
        <v>4.3680000000000003</v>
      </c>
      <c r="D17" s="9">
        <v>0.502</v>
      </c>
      <c r="E17" s="10">
        <v>8.7011939999999992</v>
      </c>
      <c r="F17" s="9">
        <v>0.66</v>
      </c>
      <c r="G17" s="13">
        <v>6.6181809999999999</v>
      </c>
      <c r="H17" s="9">
        <v>0.47699999999999998</v>
      </c>
      <c r="I17" s="15">
        <v>9.1572329999999997</v>
      </c>
      <c r="J17" s="24">
        <f t="shared" si="0"/>
        <v>1.3836477987421385</v>
      </c>
      <c r="K17" s="45">
        <v>15</v>
      </c>
      <c r="L17" s="18">
        <v>14</v>
      </c>
      <c r="M17" s="16">
        <v>10.782</v>
      </c>
      <c r="N17" s="9">
        <v>1.3280000000000001</v>
      </c>
      <c r="O17" s="10">
        <v>8.1189750000000007</v>
      </c>
      <c r="P17" s="9">
        <v>1.5649999999999999</v>
      </c>
      <c r="Q17" s="13">
        <v>6.8894570000000002</v>
      </c>
      <c r="R17" s="9">
        <v>1.165</v>
      </c>
      <c r="S17" s="15">
        <v>9.2549360000000007</v>
      </c>
      <c r="T17" s="15">
        <f t="shared" si="1"/>
        <v>1.3433476394849784</v>
      </c>
      <c r="U17" s="45">
        <v>15</v>
      </c>
      <c r="V17" s="18">
        <v>14</v>
      </c>
      <c r="W17" s="16">
        <v>35.909999999999997</v>
      </c>
      <c r="X17" s="9">
        <v>3.83</v>
      </c>
      <c r="Y17" s="10">
        <v>9.3759789999999992</v>
      </c>
      <c r="Z17" s="9">
        <v>5.2990000000000004</v>
      </c>
      <c r="AA17" s="13">
        <v>6.7767499999999998</v>
      </c>
      <c r="AB17" s="9">
        <v>3.8769999999999998</v>
      </c>
      <c r="AC17" s="15">
        <v>9.2623160000000002</v>
      </c>
      <c r="AD17" s="15">
        <f t="shared" si="2"/>
        <v>1.3667784369357752</v>
      </c>
      <c r="AE17" s="45">
        <v>15</v>
      </c>
      <c r="AF17" s="1"/>
      <c r="AG17" s="1"/>
      <c r="AH17" s="1"/>
    </row>
    <row r="18" spans="2:34" x14ac:dyDescent="0.25">
      <c r="B18" s="18">
        <v>15</v>
      </c>
      <c r="C18" s="16">
        <v>4.4050000000000002</v>
      </c>
      <c r="D18" s="9">
        <v>0.48599999999999999</v>
      </c>
      <c r="E18" s="10">
        <v>9.0637849999999993</v>
      </c>
      <c r="F18" s="9">
        <v>0.64400000000000002</v>
      </c>
      <c r="G18" s="13">
        <v>6.8400619999999996</v>
      </c>
      <c r="H18" s="9">
        <v>0.46600000000000003</v>
      </c>
      <c r="I18" s="15">
        <v>9.452788</v>
      </c>
      <c r="J18" s="24">
        <f t="shared" si="0"/>
        <v>1.3819742489270386</v>
      </c>
      <c r="K18" s="45">
        <v>15</v>
      </c>
      <c r="L18" s="18">
        <v>15</v>
      </c>
      <c r="M18" s="16">
        <v>10.837</v>
      </c>
      <c r="N18" s="9">
        <v>1.4359999999999999</v>
      </c>
      <c r="O18" s="10">
        <v>7.5466579999999999</v>
      </c>
      <c r="P18" s="9">
        <v>1.5680000000000001</v>
      </c>
      <c r="Q18" s="13">
        <v>6.9113530000000001</v>
      </c>
      <c r="R18" s="9">
        <v>1.123</v>
      </c>
      <c r="S18" s="15">
        <v>9.6500450000000004</v>
      </c>
      <c r="T18" s="15">
        <f t="shared" si="1"/>
        <v>1.3962600178094391</v>
      </c>
      <c r="U18" s="45">
        <v>25</v>
      </c>
      <c r="V18" s="18">
        <v>15</v>
      </c>
      <c r="W18" s="16">
        <v>36.334000000000003</v>
      </c>
      <c r="X18" s="9">
        <v>3.8210000000000002</v>
      </c>
      <c r="Y18" s="10">
        <v>9.509029</v>
      </c>
      <c r="Z18" s="9">
        <v>5.032</v>
      </c>
      <c r="AA18" s="13">
        <v>7.2205880000000002</v>
      </c>
      <c r="AB18" s="9">
        <v>3.7480000000000002</v>
      </c>
      <c r="AC18" s="15">
        <v>9.6942369999999993</v>
      </c>
      <c r="AD18" s="15">
        <f t="shared" si="2"/>
        <v>1.3425827107790822</v>
      </c>
      <c r="AE18" s="45">
        <v>75</v>
      </c>
      <c r="AF18" s="1"/>
      <c r="AG18" s="1"/>
      <c r="AH18" s="1"/>
    </row>
    <row r="19" spans="2:34" ht="15.75" thickBot="1" x14ac:dyDescent="0.3">
      <c r="B19" s="19">
        <v>16</v>
      </c>
      <c r="C19" s="17">
        <v>4.3769999999999998</v>
      </c>
      <c r="D19" s="11">
        <v>0.46700000000000003</v>
      </c>
      <c r="E19" s="12">
        <v>9.3725909999999999</v>
      </c>
      <c r="F19" s="11">
        <v>0.66200000000000003</v>
      </c>
      <c r="G19" s="14">
        <v>6.611783</v>
      </c>
      <c r="H19" s="5">
        <v>0.45400000000000001</v>
      </c>
      <c r="I19" s="6">
        <v>9.6409690000000001</v>
      </c>
      <c r="J19" s="6">
        <f xml:space="preserve"> F19 / H19</f>
        <v>1.4581497797356828</v>
      </c>
      <c r="K19" s="46">
        <v>20</v>
      </c>
      <c r="L19" s="19">
        <v>16</v>
      </c>
      <c r="M19" s="17">
        <v>10.736000000000001</v>
      </c>
      <c r="N19" s="11">
        <v>1.337</v>
      </c>
      <c r="O19" s="12">
        <v>8.0299180000000003</v>
      </c>
      <c r="P19" s="11">
        <v>1.5820000000000001</v>
      </c>
      <c r="Q19" s="14">
        <v>6.786346</v>
      </c>
      <c r="R19" s="5">
        <v>1.0980000000000001</v>
      </c>
      <c r="S19" s="6">
        <v>9.7777770000000004</v>
      </c>
      <c r="T19" s="6">
        <f xml:space="preserve"> P19 / R19</f>
        <v>1.4408014571948997</v>
      </c>
      <c r="U19" s="46">
        <v>20</v>
      </c>
      <c r="V19" s="19">
        <v>16</v>
      </c>
      <c r="W19" s="17">
        <v>35.942</v>
      </c>
      <c r="X19" s="5">
        <v>3.6840000000000002</v>
      </c>
      <c r="Y19" s="7">
        <v>9.7562429999999996</v>
      </c>
      <c r="Z19" s="5">
        <v>5.0140000000000002</v>
      </c>
      <c r="AA19" s="8">
        <v>7.168329</v>
      </c>
      <c r="AB19" s="5">
        <v>3.597</v>
      </c>
      <c r="AC19" s="6">
        <v>9.9922160000000009</v>
      </c>
      <c r="AD19" s="6">
        <f xml:space="preserve"> Z19 / AB19</f>
        <v>1.393939393939394</v>
      </c>
      <c r="AE19" s="46">
        <v>40</v>
      </c>
      <c r="AF19" s="1"/>
      <c r="AG19" s="1"/>
      <c r="AH19" s="1"/>
    </row>
    <row r="23" spans="2:34" x14ac:dyDescent="0.25">
      <c r="B23"/>
      <c r="C23"/>
      <c r="D23"/>
      <c r="E23"/>
      <c r="G23"/>
      <c r="H23"/>
      <c r="I23"/>
      <c r="J23"/>
      <c r="K23"/>
      <c r="L23"/>
      <c r="M23"/>
      <c r="N23"/>
      <c r="O23"/>
      <c r="Q23"/>
      <c r="R23"/>
      <c r="S23"/>
      <c r="T23"/>
      <c r="U23"/>
      <c r="V23"/>
      <c r="W23"/>
      <c r="X23"/>
      <c r="Y23"/>
    </row>
    <row r="24" spans="2:34" x14ac:dyDescent="0.25">
      <c r="B24"/>
      <c r="C24"/>
      <c r="D24"/>
      <c r="E24"/>
      <c r="G24"/>
      <c r="H24"/>
      <c r="I24"/>
      <c r="J24"/>
      <c r="K24"/>
      <c r="L24"/>
      <c r="M24"/>
      <c r="N24"/>
      <c r="O24"/>
      <c r="Q24"/>
      <c r="R24"/>
      <c r="S24"/>
      <c r="T24"/>
      <c r="U24"/>
      <c r="V24"/>
      <c r="W24"/>
      <c r="X24"/>
      <c r="Y24"/>
    </row>
    <row r="25" spans="2:34" x14ac:dyDescent="0.25">
      <c r="B25"/>
      <c r="C25"/>
      <c r="D25"/>
      <c r="E25"/>
      <c r="G25"/>
      <c r="H25"/>
      <c r="I25"/>
      <c r="J25"/>
      <c r="K25"/>
      <c r="L25"/>
      <c r="M25"/>
      <c r="N25"/>
      <c r="O25"/>
      <c r="Q25"/>
      <c r="R25"/>
      <c r="S25"/>
      <c r="T25"/>
      <c r="U25"/>
      <c r="V25"/>
      <c r="W25"/>
      <c r="X25"/>
      <c r="Y25"/>
    </row>
    <row r="26" spans="2:34" x14ac:dyDescent="0.25">
      <c r="B26"/>
      <c r="C26"/>
      <c r="D26"/>
      <c r="E26"/>
      <c r="G26"/>
      <c r="H26"/>
      <c r="I26"/>
      <c r="J26"/>
      <c r="K26"/>
      <c r="L26"/>
      <c r="M26"/>
      <c r="N26"/>
      <c r="O26"/>
      <c r="Q26"/>
      <c r="R26"/>
      <c r="S26"/>
      <c r="T26"/>
      <c r="U26"/>
      <c r="V26"/>
      <c r="W26"/>
      <c r="X26"/>
      <c r="Y26"/>
    </row>
    <row r="27" spans="2:34" x14ac:dyDescent="0.25">
      <c r="B27"/>
      <c r="C27"/>
      <c r="D27"/>
      <c r="E27"/>
      <c r="G27"/>
      <c r="H27"/>
      <c r="I27"/>
      <c r="J27"/>
      <c r="K27"/>
      <c r="L27"/>
      <c r="M27"/>
      <c r="N27"/>
      <c r="O27"/>
      <c r="Q27"/>
      <c r="R27"/>
      <c r="S27"/>
      <c r="T27"/>
      <c r="U27"/>
      <c r="V27"/>
      <c r="W27"/>
      <c r="X27"/>
      <c r="Y27"/>
    </row>
    <row r="28" spans="2:34" x14ac:dyDescent="0.25">
      <c r="B28"/>
      <c r="C28"/>
      <c r="D28"/>
      <c r="E28"/>
      <c r="G28"/>
      <c r="H28"/>
      <c r="I28"/>
      <c r="J28"/>
      <c r="K28"/>
      <c r="L28"/>
      <c r="M28"/>
      <c r="N28"/>
      <c r="O28"/>
      <c r="Q28"/>
      <c r="R28"/>
      <c r="S28"/>
      <c r="T28"/>
      <c r="U28"/>
      <c r="V28"/>
      <c r="W28"/>
      <c r="X28"/>
      <c r="Y28"/>
    </row>
    <row r="29" spans="2:34" x14ac:dyDescent="0.25">
      <c r="B29"/>
      <c r="C29"/>
      <c r="D29"/>
      <c r="E29"/>
      <c r="G29"/>
      <c r="H29"/>
      <c r="I29"/>
      <c r="J29"/>
      <c r="K29"/>
      <c r="L29"/>
      <c r="M29"/>
      <c r="N29"/>
      <c r="O29"/>
      <c r="Q29"/>
      <c r="R29"/>
      <c r="S29"/>
      <c r="T29"/>
      <c r="U29"/>
      <c r="V29"/>
      <c r="W29"/>
      <c r="X29"/>
      <c r="Y29"/>
    </row>
    <row r="30" spans="2:34" x14ac:dyDescent="0.25">
      <c r="B30"/>
      <c r="C30"/>
      <c r="D30"/>
      <c r="E30"/>
      <c r="G30"/>
      <c r="H30"/>
      <c r="I30"/>
      <c r="J30"/>
      <c r="K30"/>
      <c r="L30"/>
      <c r="M30"/>
      <c r="N30"/>
      <c r="O30"/>
      <c r="Q30"/>
      <c r="R30"/>
      <c r="S30"/>
      <c r="T30"/>
      <c r="U30"/>
      <c r="V30"/>
      <c r="W30"/>
      <c r="X30"/>
      <c r="Y30"/>
    </row>
    <row r="31" spans="2:34" x14ac:dyDescent="0.25">
      <c r="B31"/>
      <c r="C31"/>
      <c r="D31"/>
      <c r="E31"/>
      <c r="G31"/>
      <c r="H31"/>
      <c r="I31"/>
      <c r="J31"/>
      <c r="K31"/>
      <c r="L31"/>
      <c r="M31"/>
      <c r="N31"/>
      <c r="O31"/>
      <c r="Q31"/>
      <c r="R31"/>
      <c r="S31"/>
      <c r="T31"/>
      <c r="U31"/>
      <c r="V31"/>
      <c r="W31"/>
      <c r="X31"/>
      <c r="Y31"/>
    </row>
    <row r="32" spans="2:34" x14ac:dyDescent="0.25">
      <c r="B32"/>
      <c r="C32"/>
      <c r="D32"/>
      <c r="E32"/>
      <c r="G32"/>
      <c r="H32"/>
      <c r="I32"/>
      <c r="J32"/>
      <c r="K32"/>
      <c r="L32"/>
      <c r="M32"/>
      <c r="N32"/>
      <c r="O32"/>
      <c r="Q32"/>
      <c r="R32"/>
      <c r="S32"/>
      <c r="T32"/>
      <c r="U32"/>
      <c r="V32"/>
      <c r="W32"/>
      <c r="X32"/>
      <c r="Y32"/>
    </row>
    <row r="33" spans="2:25" x14ac:dyDescent="0.25">
      <c r="B33"/>
      <c r="C33"/>
      <c r="D33"/>
      <c r="E33"/>
      <c r="G33"/>
      <c r="H33"/>
      <c r="I33"/>
      <c r="J33"/>
      <c r="K33"/>
      <c r="L33"/>
      <c r="M33"/>
      <c r="N33"/>
      <c r="O33"/>
      <c r="Q33"/>
      <c r="R33"/>
      <c r="S33"/>
      <c r="T33"/>
      <c r="U33"/>
      <c r="V33"/>
      <c r="W33"/>
      <c r="X33"/>
      <c r="Y33"/>
    </row>
    <row r="34" spans="2:25" x14ac:dyDescent="0.25">
      <c r="B34"/>
      <c r="C34"/>
      <c r="D34"/>
      <c r="E34"/>
      <c r="G34"/>
      <c r="H34"/>
      <c r="I34"/>
      <c r="J34"/>
      <c r="K34"/>
      <c r="L34"/>
      <c r="M34"/>
      <c r="N34"/>
      <c r="O34"/>
      <c r="Q34"/>
      <c r="R34"/>
      <c r="S34"/>
      <c r="T34"/>
      <c r="U34"/>
      <c r="V34"/>
      <c r="W34"/>
      <c r="X34"/>
      <c r="Y34"/>
    </row>
    <row r="35" spans="2:25" x14ac:dyDescent="0.25">
      <c r="B35"/>
      <c r="C35"/>
      <c r="D35"/>
      <c r="E35"/>
      <c r="G35"/>
      <c r="H35"/>
      <c r="I35"/>
      <c r="J35"/>
      <c r="K35"/>
      <c r="L35"/>
      <c r="M35"/>
      <c r="N35"/>
      <c r="O35"/>
      <c r="Q35"/>
      <c r="R35"/>
      <c r="S35"/>
      <c r="T35"/>
      <c r="U35"/>
      <c r="V35"/>
      <c r="W35"/>
      <c r="X35"/>
      <c r="Y35"/>
    </row>
    <row r="36" spans="2:25" x14ac:dyDescent="0.25">
      <c r="B36"/>
      <c r="C36"/>
      <c r="D36"/>
      <c r="E36"/>
      <c r="G36"/>
      <c r="H36"/>
      <c r="I36"/>
      <c r="J36"/>
      <c r="K36"/>
      <c r="L36"/>
      <c r="M36"/>
      <c r="N36"/>
      <c r="O36"/>
      <c r="Q36"/>
      <c r="R36"/>
      <c r="S36"/>
      <c r="T36"/>
      <c r="U36"/>
      <c r="V36"/>
      <c r="W36"/>
      <c r="X36"/>
      <c r="Y36"/>
    </row>
    <row r="37" spans="2:25" x14ac:dyDescent="0.25">
      <c r="B37"/>
      <c r="C37"/>
      <c r="D37"/>
      <c r="E37"/>
      <c r="G37"/>
      <c r="H37"/>
      <c r="I37"/>
      <c r="J37"/>
      <c r="K37"/>
      <c r="L37"/>
      <c r="M37"/>
      <c r="N37"/>
      <c r="O37"/>
      <c r="Q37"/>
      <c r="R37"/>
      <c r="S37"/>
      <c r="T37"/>
      <c r="U37"/>
      <c r="V37"/>
      <c r="W37"/>
      <c r="X37"/>
      <c r="Y37"/>
    </row>
    <row r="38" spans="2:25" x14ac:dyDescent="0.25">
      <c r="B38"/>
      <c r="C38"/>
      <c r="D38"/>
      <c r="E38"/>
      <c r="G38"/>
      <c r="H38"/>
      <c r="I38"/>
      <c r="J38"/>
      <c r="K38"/>
      <c r="L38"/>
      <c r="M38"/>
      <c r="N38"/>
      <c r="O38"/>
      <c r="Q38"/>
      <c r="R38"/>
      <c r="S38"/>
      <c r="T38"/>
      <c r="U38"/>
      <c r="V38"/>
      <c r="W38"/>
      <c r="X38"/>
      <c r="Y38"/>
    </row>
    <row r="39" spans="2:25" x14ac:dyDescent="0.25">
      <c r="B39"/>
      <c r="C39"/>
      <c r="D39"/>
      <c r="E39"/>
      <c r="G39"/>
      <c r="H39"/>
      <c r="I39"/>
      <c r="J39"/>
      <c r="K39"/>
      <c r="L39"/>
      <c r="M39"/>
      <c r="N39"/>
      <c r="O39"/>
      <c r="Q39"/>
      <c r="R39"/>
      <c r="S39"/>
      <c r="T39"/>
      <c r="U39"/>
      <c r="V39"/>
      <c r="W39"/>
      <c r="X39"/>
      <c r="Y39"/>
    </row>
    <row r="40" spans="2:25" x14ac:dyDescent="0.25">
      <c r="B40"/>
      <c r="C40"/>
      <c r="D40"/>
      <c r="E40"/>
      <c r="G40"/>
      <c r="H40"/>
      <c r="I40"/>
      <c r="J40"/>
      <c r="K40"/>
      <c r="L40"/>
      <c r="M40"/>
      <c r="N40"/>
      <c r="O40"/>
      <c r="Q40"/>
      <c r="R40"/>
      <c r="S40"/>
      <c r="T40"/>
      <c r="U40"/>
      <c r="V40"/>
      <c r="W40"/>
      <c r="X40"/>
      <c r="Y40"/>
    </row>
  </sheetData>
  <mergeCells count="18">
    <mergeCell ref="X3:Y3"/>
    <mergeCell ref="M2:U2"/>
    <mergeCell ref="M3:M4"/>
    <mergeCell ref="P3:Q3"/>
    <mergeCell ref="R3:U3"/>
    <mergeCell ref="V2:V4"/>
    <mergeCell ref="W2:AE2"/>
    <mergeCell ref="W3:W4"/>
    <mergeCell ref="Z3:AA3"/>
    <mergeCell ref="AB3:AE3"/>
    <mergeCell ref="C2:K2"/>
    <mergeCell ref="H3:K3"/>
    <mergeCell ref="L2:L4"/>
    <mergeCell ref="B2:B4"/>
    <mergeCell ref="C3:C4"/>
    <mergeCell ref="N3:O3"/>
    <mergeCell ref="D3:E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Measurements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 Indrie</dc:creator>
  <cp:lastModifiedBy>Filip Indrie</cp:lastModifiedBy>
  <dcterms:created xsi:type="dcterms:W3CDTF">2025-12-21T09:02:32Z</dcterms:created>
  <dcterms:modified xsi:type="dcterms:W3CDTF">2025-12-21T15:01:14Z</dcterms:modified>
</cp:coreProperties>
</file>